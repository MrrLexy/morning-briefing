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003057"/>
      </patternFill>
    </fill>
  </fills>
  <borders count="2">
    <border>
      <left/>
      <right/>
      <top/>
      <bottom/>
      <diagonal/>
    </border>
    <border>
      <right style="thin">
        <color rgb="00D6DAE4"/>
      </right>
      <bottom style="thin">
        <color rgb="00D6DA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0" customHeight="1">
      <c r="A1" s="1" t="inlineStr">
        <is>
          <t>Ticker</t>
        </is>
      </c>
      <c r="B1" s="1" t="inlineStr">
        <is>
          <t>PX_LAST</t>
        </is>
      </c>
      <c r="C1" s="1" t="inlineStr">
        <is>
          <t>CHG_NET_1D</t>
        </is>
      </c>
      <c r="D1" s="1" t="inlineStr">
        <is>
          <t>CHG_PCT_1D</t>
        </is>
      </c>
      <c r="E1" s="1" t="inlineStr">
        <is>
          <t>YLD_YTM_BID</t>
        </is>
      </c>
      <c r="F1" s="1" t="inlineStr">
        <is>
          <t>OAS_SPREAD_ASK</t>
        </is>
      </c>
      <c r="G1" s="1" t="inlineStr">
        <is>
          <t>DUR_ADJ_MID</t>
        </is>
      </c>
      <c r="H1" s="1" t="inlineStr">
        <is>
          <t>RETURN_YTD</t>
        </is>
      </c>
      <c r="I1" s="1" t="inlineStr">
        <is>
          <t>RETURN_QTD</t>
        </is>
      </c>
    </row>
    <row r="2">
      <c r="A2" s="2" t="inlineStr">
        <is>
          <t>LBUSTRUU Index</t>
        </is>
      </c>
      <c r="B2" s="3">
        <f>BDP("LBUSTRUU Index","PX_LAST")</f>
        <v/>
      </c>
      <c r="C2" s="3">
        <f>BDP("LBUSTRUU Index","CHG_NET_1D")</f>
        <v/>
      </c>
      <c r="D2" s="3" t="n"/>
      <c r="E2" s="3">
        <f>BDP("LBUSTRUU Index","YLD_YTM_BID")</f>
        <v/>
      </c>
      <c r="F2" s="3">
        <f>BDP("LBUSTRUU Index","OAS_SPREAD_ASK")</f>
        <v/>
      </c>
      <c r="G2" s="3">
        <f>BDP("LBUSTRUU Index","DUR_ADJ_MID")</f>
        <v/>
      </c>
      <c r="H2" s="3">
        <f>BDP("LBUSTRUU Index","RETURN_YTD")</f>
        <v/>
      </c>
      <c r="I2" s="3">
        <f>BDP("LBUSTRUU Index","RETURN_QTD")</f>
        <v/>
      </c>
    </row>
    <row r="3">
      <c r="A3" s="2" t="inlineStr">
        <is>
          <t>LUACTRUU Index</t>
        </is>
      </c>
      <c r="B3" s="3">
        <f>BDP("LUACTRUU Index","PX_LAST")</f>
        <v/>
      </c>
      <c r="C3" s="3">
        <f>BDP("LUACTRUU Index","CHG_NET_1D")</f>
        <v/>
      </c>
      <c r="D3" s="3" t="n"/>
      <c r="E3" s="3">
        <f>BDP("LUACTRUU Index","YLD_YTM_BID")</f>
        <v/>
      </c>
      <c r="F3" s="3">
        <f>BDP("LUACTRUU Index","OAS_SPREAD_ASK")</f>
        <v/>
      </c>
      <c r="G3" s="3">
        <f>BDP("LUACTRUU Index","DUR_ADJ_MID")</f>
        <v/>
      </c>
      <c r="H3" s="3">
        <f>BDP("LUACTRUU Index","RETURN_YTD")</f>
        <v/>
      </c>
      <c r="I3" s="3">
        <f>BDP("LUACTRUU Index","RETURN_QTD")</f>
        <v/>
      </c>
    </row>
    <row r="4">
      <c r="A4" s="2" t="inlineStr">
        <is>
          <t>JBCDCOMP Index</t>
        </is>
      </c>
      <c r="B4" s="3">
        <f>BDP("JBCDCOMP Index","PX_LAST")</f>
        <v/>
      </c>
      <c r="C4" s="3">
        <f>BDP("JBCDCOMP Index","CHG_NET_1D")</f>
        <v/>
      </c>
      <c r="D4" s="3" t="n"/>
      <c r="E4" s="3">
        <f>BDP("JBCDCOMP Index","YLD_YTM_BID")</f>
        <v/>
      </c>
      <c r="F4" s="3">
        <f>BDP("JBCDCOMP Index","OAS_SPREAD_ASK")</f>
        <v/>
      </c>
      <c r="G4" s="3">
        <f>BDP("JBCDCOMP Index","DUR_ADJ_MID")</f>
        <v/>
      </c>
      <c r="H4" s="3">
        <f>BDP("JBCDCOMP Index","RETURN_YTD")</f>
        <v/>
      </c>
      <c r="I4" s="3">
        <f>BDP("JBCDCOMP Index","RETURN_QTD")</f>
        <v/>
      </c>
    </row>
    <row r="5">
      <c r="A5" s="2" t="inlineStr">
        <is>
          <t>BAMLH0A1HYBB Index</t>
        </is>
      </c>
      <c r="B5" s="3">
        <f>BDP("BAMLH0A1HYBB Index","PX_LAST")</f>
        <v/>
      </c>
      <c r="C5" s="3">
        <f>BDP("BAMLH0A1HYBB Index","CHG_NET_1D")</f>
        <v/>
      </c>
      <c r="D5" s="3" t="n"/>
      <c r="E5" s="3">
        <f>BDP("BAMLH0A1HYBB Index","YLD_YTM_BID")</f>
        <v/>
      </c>
      <c r="F5" s="3">
        <f>BDP("BAMLH0A1HYBB Index","OAS_SPREAD_ASK")</f>
        <v/>
      </c>
      <c r="G5" s="3">
        <f>BDP("BAMLH0A1HYBB Index","DUR_ADJ_MID")</f>
        <v/>
      </c>
      <c r="H5" s="3">
        <f>BDP("BAMLH0A1HYBB Index","RETURN_YTD")</f>
        <v/>
      </c>
      <c r="I5" s="3">
        <f>BDP("BAMLH0A1HYBB Index","RETURN_QTD")</f>
        <v/>
      </c>
    </row>
    <row r="6">
      <c r="A6" s="2" t="inlineStr">
        <is>
          <t>BAMLC0A0CM Index</t>
        </is>
      </c>
      <c r="B6" s="3">
        <f>BDP("BAMLC0A0CM Index","PX_LAST")</f>
        <v/>
      </c>
      <c r="C6" s="3">
        <f>BDP("BAMLC0A0CM Index","CHG_NET_1D")</f>
        <v/>
      </c>
      <c r="D6" s="3" t="n"/>
      <c r="E6" s="3" t="n"/>
      <c r="F6" s="3" t="n"/>
      <c r="G6" s="3" t="n"/>
      <c r="H6" s="3" t="n"/>
      <c r="I6" s="3" t="n"/>
    </row>
    <row r="7">
      <c r="A7" s="2" t="inlineStr">
        <is>
          <t>BAMLH0A0HYM2 Index</t>
        </is>
      </c>
      <c r="B7" s="3">
        <f>BDP("BAMLH0A0HYM2 Index","PX_LAST")</f>
        <v/>
      </c>
      <c r="C7" s="3">
        <f>BDP("BAMLH0A0HYM2 Index","CHG_NET_1D")</f>
        <v/>
      </c>
      <c r="D7" s="3" t="n"/>
      <c r="E7" s="3" t="n"/>
      <c r="F7" s="3" t="n"/>
      <c r="G7" s="3" t="n"/>
      <c r="H7" s="3" t="n"/>
      <c r="I7" s="3" t="n"/>
    </row>
    <row r="8">
      <c r="A8" s="2" t="inlineStr">
        <is>
          <t>BAMLH0A3HYC Index</t>
        </is>
      </c>
      <c r="B8" s="3">
        <f>BDP("BAMLH0A3HYC Index","PX_LAST")</f>
        <v/>
      </c>
      <c r="C8" s="3">
        <f>BDP("BAMLH0A3HYC Index","CHG_NET_1D")</f>
        <v/>
      </c>
      <c r="D8" s="3" t="n"/>
      <c r="E8" s="3" t="n"/>
      <c r="F8" s="3" t="n"/>
      <c r="G8" s="3" t="n"/>
      <c r="H8" s="3" t="n"/>
      <c r="I8" s="3" t="n"/>
    </row>
    <row r="9">
      <c r="A9" s="2" t="inlineStr">
        <is>
          <t>MOVE Index</t>
        </is>
      </c>
      <c r="B9" s="3">
        <f>BDP("MOVE Index","PX_LAST")</f>
        <v/>
      </c>
      <c r="C9" s="3">
        <f>BDP("MOVE Index","CHG_NET_1D")</f>
        <v/>
      </c>
      <c r="D9" s="3" t="n"/>
      <c r="E9" s="3" t="n"/>
      <c r="F9" s="3" t="n"/>
      <c r="G9" s="3" t="n"/>
      <c r="H9" s="3" t="n"/>
      <c r="I9" s="3" t="n"/>
    </row>
    <row r="10">
      <c r="A10" s="2" t="inlineStr">
        <is>
          <t>GT2 Govt</t>
        </is>
      </c>
      <c r="B10" s="3">
        <f>BDP("GT2 Govt","PX_LAST")</f>
        <v/>
      </c>
      <c r="C10" s="3">
        <f>BDP("GT2 Govt","CHG_NET_1D")</f>
        <v/>
      </c>
      <c r="D10" s="3" t="n"/>
      <c r="E10" s="3">
        <f>BDP("GT2 Govt","YLD_YTM_BID")</f>
        <v/>
      </c>
      <c r="F10" s="3" t="n"/>
      <c r="G10" s="3" t="n"/>
      <c r="H10" s="3" t="n"/>
      <c r="I10" s="3" t="n"/>
    </row>
    <row r="11">
      <c r="A11" s="2" t="inlineStr">
        <is>
          <t>GT5 Govt</t>
        </is>
      </c>
      <c r="B11" s="3">
        <f>BDP("GT5 Govt","PX_LAST")</f>
        <v/>
      </c>
      <c r="C11" s="3">
        <f>BDP("GT5 Govt","CHG_NET_1D")</f>
        <v/>
      </c>
      <c r="D11" s="3" t="n"/>
      <c r="E11" s="3">
        <f>BDP("GT5 Govt","YLD_YTM_BID")</f>
        <v/>
      </c>
      <c r="F11" s="3" t="n"/>
      <c r="G11" s="3" t="n"/>
      <c r="H11" s="3" t="n"/>
      <c r="I11" s="3" t="n"/>
    </row>
    <row r="12">
      <c r="A12" s="2" t="inlineStr">
        <is>
          <t>GT10 Govt</t>
        </is>
      </c>
      <c r="B12" s="3">
        <f>BDP("GT10 Govt","PX_LAST")</f>
        <v/>
      </c>
      <c r="C12" s="3">
        <f>BDP("GT10 Govt","CHG_NET_1D")</f>
        <v/>
      </c>
      <c r="D12" s="3" t="n"/>
      <c r="E12" s="3">
        <f>BDP("GT10 Govt","YLD_YTM_BID")</f>
        <v/>
      </c>
      <c r="F12" s="3" t="n"/>
      <c r="G12" s="3" t="n"/>
      <c r="H12" s="3" t="n"/>
      <c r="I12" s="3" t="n"/>
    </row>
    <row r="13">
      <c r="A13" s="2" t="inlineStr">
        <is>
          <t>GT30 Govt</t>
        </is>
      </c>
      <c r="B13" s="3">
        <f>BDP("GT30 Govt","PX_LAST")</f>
        <v/>
      </c>
      <c r="C13" s="3">
        <f>BDP("GT30 Govt","CHG_NET_1D")</f>
        <v/>
      </c>
      <c r="D13" s="3" t="n"/>
      <c r="E13" s="3">
        <f>BDP("GT30 Govt","YLD_YTM_BID")</f>
        <v/>
      </c>
      <c r="F13" s="3" t="n"/>
      <c r="G13" s="3" t="n"/>
      <c r="H13" s="3" t="n"/>
      <c r="I13" s="3" t="n"/>
    </row>
    <row r="14">
      <c r="A14" s="2" t="inlineStr">
        <is>
          <t>USGGT10Y Index</t>
        </is>
      </c>
      <c r="B14" s="3">
        <f>BDP("USGGT10Y Index","PX_LAST")</f>
        <v/>
      </c>
      <c r="C14" s="3">
        <f>BDP("USGGT10Y Index","CHG_NET_1D")</f>
        <v/>
      </c>
      <c r="D14" s="3" t="n"/>
      <c r="E14" s="3">
        <f>BDP("USGGT10Y Index","YLD_YTM_BID")</f>
        <v/>
      </c>
      <c r="F14" s="3" t="n"/>
      <c r="G14" s="3" t="n"/>
      <c r="H14" s="3" t="n"/>
      <c r="I14" s="3" t="n"/>
    </row>
    <row r="15">
      <c r="A15" s="2" t="inlineStr">
        <is>
          <t>USGGBE10 Index</t>
        </is>
      </c>
      <c r="B15" s="3">
        <f>BDP("USGGBE10 Index","PX_LAST")</f>
        <v/>
      </c>
      <c r="C15" s="3">
        <f>BDP("USGGBE10 Index","CHG_NET_1D")</f>
        <v/>
      </c>
      <c r="D15" s="3" t="n"/>
      <c r="E15" s="3" t="n"/>
      <c r="F15" s="3" t="n"/>
      <c r="G15" s="3" t="n"/>
      <c r="H15" s="3" t="n"/>
      <c r="I15" s="3" t="n"/>
    </row>
    <row r="16">
      <c r="A16" s="2" t="inlineStr">
        <is>
          <t>SPX Index</t>
        </is>
      </c>
      <c r="B16" s="3">
        <f>BDP("SPX Index","PX_LAST")</f>
        <v/>
      </c>
      <c r="C16" s="3" t="n"/>
      <c r="D16" s="3">
        <f>BDP("SPX Index","CHG_PCT_1D")</f>
        <v/>
      </c>
      <c r="E16" s="3" t="n"/>
      <c r="F16" s="3" t="n"/>
      <c r="G16" s="3" t="n"/>
      <c r="H16" s="3" t="n"/>
      <c r="I16" s="3" t="n"/>
    </row>
    <row r="17">
      <c r="A17" s="2" t="inlineStr">
        <is>
          <t>DXY Curncy</t>
        </is>
      </c>
      <c r="B17" s="3">
        <f>BDP("DXY Curncy","PX_LAST")</f>
        <v/>
      </c>
      <c r="C17" s="3" t="n"/>
      <c r="D17" s="3">
        <f>BDP("DXY Curncy","CHG_PCT_1D")</f>
        <v/>
      </c>
      <c r="E17" s="3" t="n"/>
      <c r="F17" s="3" t="n"/>
      <c r="G17" s="3" t="n"/>
      <c r="H17" s="3" t="n"/>
      <c r="I17" s="3" t="n"/>
    </row>
    <row r="18">
      <c r="A18" s="2" t="inlineStr">
        <is>
          <t>CL1 Comdty</t>
        </is>
      </c>
      <c r="B18" s="3">
        <f>BDP("CL1 Comdty","PX_LAST")</f>
        <v/>
      </c>
      <c r="C18" s="3" t="n"/>
      <c r="D18" s="3">
        <f>BDP("CL1 Comdty","CHG_PCT_1D")</f>
        <v/>
      </c>
      <c r="E18" s="3" t="n"/>
      <c r="F18" s="3" t="n"/>
      <c r="G18" s="3" t="n"/>
      <c r="H18" s="3" t="n"/>
      <c r="I18" s="3" t="n"/>
    </row>
    <row r="19">
      <c r="A19" s="2" t="inlineStr">
        <is>
          <t>USOSFR Index</t>
        </is>
      </c>
      <c r="B19" s="3">
        <f>BDP("USOSFR Index","PX_LAST")</f>
        <v/>
      </c>
      <c r="C19" s="3">
        <f>BDP("USOSFR Index","CHG_NET_1D")</f>
        <v/>
      </c>
      <c r="D19" s="3" t="n"/>
      <c r="E19" s="3" t="n"/>
      <c r="F19" s="3" t="n"/>
      <c r="G19" s="3" t="n"/>
      <c r="H19" s="3" t="n"/>
      <c r="I19" s="3" t="n"/>
    </row>
    <row r="20">
      <c r="A20" s="2" t="inlineStr">
        <is>
          <t>AGG US Equity</t>
        </is>
      </c>
      <c r="B20" s="3">
        <f>BDP("AGG US Equity","PX_LAST")</f>
        <v/>
      </c>
      <c r="C20" s="3" t="n"/>
      <c r="D20" s="3">
        <f>BDP("AGG US Equity","CHG_PCT_1D")</f>
        <v/>
      </c>
      <c r="E20" s="3">
        <f>BDP("AGG US Equity","YLD_YTM_BID")</f>
        <v/>
      </c>
      <c r="F20" s="3">
        <f>BDP("AGG US Equity","OAS_SPREAD_ASK")</f>
        <v/>
      </c>
      <c r="G20" s="3" t="n"/>
      <c r="H20" s="3">
        <f>BDP("AGG US Equity","RETURN_YTD")</f>
        <v/>
      </c>
      <c r="I20" s="3" t="n"/>
    </row>
    <row r="21">
      <c r="A21" s="2" t="inlineStr">
        <is>
          <t>LQD US Equity</t>
        </is>
      </c>
      <c r="B21" s="3">
        <f>BDP("LQD US Equity","PX_LAST")</f>
        <v/>
      </c>
      <c r="C21" s="3" t="n"/>
      <c r="D21" s="3">
        <f>BDP("LQD US Equity","CHG_PCT_1D")</f>
        <v/>
      </c>
      <c r="E21" s="3">
        <f>BDP("LQD US Equity","YLD_YTM_BID")</f>
        <v/>
      </c>
      <c r="F21" s="3">
        <f>BDP("LQD US Equity","OAS_SPREAD_ASK")</f>
        <v/>
      </c>
      <c r="G21" s="3" t="n"/>
      <c r="H21" s="3">
        <f>BDP("LQD US Equity","RETURN_YTD")</f>
        <v/>
      </c>
      <c r="I21" s="3" t="n"/>
    </row>
    <row r="22">
      <c r="A22" s="2" t="inlineStr">
        <is>
          <t>HYG US Equity</t>
        </is>
      </c>
      <c r="B22" s="3">
        <f>BDP("HYG US Equity","PX_LAST")</f>
        <v/>
      </c>
      <c r="C22" s="3" t="n"/>
      <c r="D22" s="3">
        <f>BDP("HYG US Equity","CHG_PCT_1D")</f>
        <v/>
      </c>
      <c r="E22" s="3">
        <f>BDP("HYG US Equity","YLD_YTM_BID")</f>
        <v/>
      </c>
      <c r="F22" s="3">
        <f>BDP("HYG US Equity","OAS_SPREAD_ASK")</f>
        <v/>
      </c>
      <c r="G22" s="3" t="n"/>
      <c r="H22" s="3">
        <f>BDP("HYG US Equity","RETURN_YTD")</f>
        <v/>
      </c>
      <c r="I22" s="3" t="n"/>
    </row>
    <row r="23">
      <c r="A23" s="2" t="inlineStr">
        <is>
          <t>EMB US Equity</t>
        </is>
      </c>
      <c r="B23" s="3">
        <f>BDP("EMB US Equity","PX_LAST")</f>
        <v/>
      </c>
      <c r="C23" s="3" t="n"/>
      <c r="D23" s="3">
        <f>BDP("EMB US Equity","CHG_PCT_1D")</f>
        <v/>
      </c>
      <c r="E23" s="3">
        <f>BDP("EMB US Equity","YLD_YTM_BID")</f>
        <v/>
      </c>
      <c r="F23" s="3">
        <f>BDP("EMB US Equity","OAS_SPREAD_ASK")</f>
        <v/>
      </c>
      <c r="G23" s="3" t="n"/>
      <c r="H23" s="3">
        <f>BDP("EMB US Equity","RETURN_YTD")</f>
        <v/>
      </c>
      <c r="I23" s="3" t="n"/>
    </row>
    <row r="24">
      <c r="A24" s="2" t="inlineStr">
        <is>
          <t>VIX Index</t>
        </is>
      </c>
      <c r="B24" s="3">
        <f>BDP("VIX Index","PX_LAST")</f>
        <v/>
      </c>
      <c r="C24" s="3">
        <f>BDP("VIX Index","CHG_NET_1D")</f>
        <v/>
      </c>
      <c r="D24" s="3" t="n"/>
      <c r="E24" s="3" t="n"/>
      <c r="F24" s="3" t="n"/>
      <c r="G24" s="3" t="n"/>
      <c r="H24" s="3" t="n"/>
      <c r="I24" s="3" t="n"/>
    </row>
    <row r="25">
      <c r="A25" s="2" t="inlineStr">
        <is>
          <t>USGG10YR Index</t>
        </is>
      </c>
      <c r="B25" s="3">
        <f>BDP("USGG10YR Index","PX_LAST")</f>
        <v/>
      </c>
      <c r="C25" s="3">
        <f>BDP("USGG10YR Index","CHG_NET_1D")</f>
        <v/>
      </c>
      <c r="D25" s="3" t="n"/>
      <c r="E25" s="3" t="n"/>
      <c r="F25" s="3" t="n"/>
      <c r="G25" s="3" t="n"/>
      <c r="H25" s="3" t="n"/>
      <c r="I2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Morning Briefing — Bloomberg data template</t>
        </is>
      </c>
    </row>
    <row r="2">
      <c r="A2" s="5" t="inlineStr"/>
    </row>
    <row r="3">
      <c r="A3" s="4" t="inlineStr">
        <is>
          <t>Each morning:</t>
        </is>
      </c>
    </row>
    <row r="4">
      <c r="A4" s="5" t="inlineStr">
        <is>
          <t>1. Open this file on a machine with the Bloomberg Excel add-in.</t>
        </is>
      </c>
    </row>
    <row r="5">
      <c r="A5" s="5" t="inlineStr">
        <is>
          <t>2. Wait for the =BDP() formulas on the Data sheet to resolve to numbers.</t>
        </is>
      </c>
    </row>
    <row r="6">
      <c r="A6" s="5" t="inlineStr">
        <is>
          <t xml:space="preserve">   #N/A in a cell is fine — that field doesn't apply to that security.</t>
        </is>
      </c>
    </row>
    <row r="7">
      <c r="A7" s="5" t="inlineStr">
        <is>
          <t>3. File &gt; Save As &gt; CSV (Comma delimited). Saving as CSV converts the</t>
        </is>
      </c>
    </row>
    <row r="8">
      <c r="A8" s="5" t="inlineStr">
        <is>
          <t xml:space="preserve">   formulas to plain values automatically — that IS the 'save as values' step.</t>
        </is>
      </c>
    </row>
    <row r="9">
      <c r="A9" s="5" t="inlineStr">
        <is>
          <t>4. Feed the CSV into the briefing, either:</t>
        </is>
      </c>
    </row>
    <row r="10">
      <c r="A10" s="5" t="inlineStr">
        <is>
          <t xml:space="preserve">      python import_bbg_paste.py yourfile.csv</t>
        </is>
      </c>
    </row>
    <row r="11">
      <c r="A11" s="5" t="inlineStr">
        <is>
          <t xml:space="preserve">   or the browser converter (no Python needed):</t>
        </is>
      </c>
    </row>
    <row r="12">
      <c r="A12" s="5" t="inlineStr">
        <is>
          <t xml:space="preserve">      https://mrrlexy.github.io/morning-briefing/import/</t>
        </is>
      </c>
    </row>
    <row r="13">
      <c r="A13" s="5" t="inlineStr"/>
    </row>
    <row r="14">
      <c r="A14" s="5" t="inlineStr">
        <is>
          <t>Keep this .xlsx — it is the reusable template. Save the CSV under a new</t>
        </is>
      </c>
    </row>
    <row r="15">
      <c r="A15" s="5" t="inlineStr">
        <is>
          <t>name each day so you never overwrite the formulas.</t>
        </is>
      </c>
    </row>
    <row r="16">
      <c r="A16" s="5" t="inlineStr"/>
    </row>
    <row r="17">
      <c r="A17" s="4" t="inlineStr">
        <is>
          <t>Do not commit the CSV or data.json to git. Bloomberg values stay on this</t>
        </is>
      </c>
    </row>
    <row r="18">
      <c r="A18" s="4" t="inlineStr">
        <is>
          <t>machine — see DATA_POLICY.md.</t>
        </is>
      </c>
    </row>
    <row r="19">
      <c r="A19" s="5" t="inlineStr"/>
    </row>
    <row r="20">
      <c r="A20" s="5" t="inlineStr">
        <is>
          <t>To change which securities or fields appear here, edit SECURITIES in</t>
        </is>
      </c>
    </row>
    <row r="21">
      <c r="A21" s="5" t="inlineStr">
        <is>
          <t>fetch_bloomberg.py or watchlist.json, then re-run make_bbg_template.py.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2026-07-30T04:36:39Z</dcterms:created>
  <dcterms:modified xmlns:dcterms="http://purl.org/dc/terms/" xmlns:xsi="http://www.w3.org/2001/XMLSchema-instance" xsi:type="dcterms:W3CDTF">2026-07-30T04:36:39Z</dcterms:modified>
</cp:coreProperties>
</file>